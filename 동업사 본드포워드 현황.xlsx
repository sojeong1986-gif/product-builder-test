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jeo\Downloads\"/>
    </mc:Choice>
  </mc:AlternateContent>
  <xr:revisionPtr revIDLastSave="0" documentId="13_ncr:1_{DE8F052B-3FC1-4E46-AC15-764791DA16C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보험사 본드포워드현황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8" i="6" l="1"/>
  <c r="P27" i="6"/>
  <c r="P26" i="6"/>
  <c r="P25" i="6"/>
  <c r="P24" i="6"/>
  <c r="P23" i="6"/>
  <c r="P22" i="6"/>
  <c r="P21" i="6"/>
  <c r="P20" i="6"/>
  <c r="P16" i="6"/>
  <c r="P15" i="6"/>
  <c r="P14" i="6"/>
  <c r="P13" i="6"/>
  <c r="P12" i="6"/>
  <c r="P11" i="6"/>
  <c r="P10" i="6"/>
  <c r="P9" i="6"/>
  <c r="P8" i="6"/>
  <c r="C29" i="6"/>
  <c r="P29" i="6" s="1"/>
  <c r="C17" i="6"/>
  <c r="I29" i="6"/>
  <c r="I31" i="6" s="1"/>
  <c r="H29" i="6"/>
  <c r="H31" i="6" s="1"/>
  <c r="I17" i="6"/>
  <c r="H17" i="6"/>
  <c r="N8" i="6" l="1"/>
  <c r="N11" i="6"/>
  <c r="N10" i="6"/>
  <c r="N12" i="6"/>
  <c r="N9" i="6"/>
  <c r="N13" i="6"/>
  <c r="O15" i="6"/>
  <c r="O10" i="6"/>
  <c r="O14" i="6"/>
  <c r="O13" i="6"/>
  <c r="O12" i="6"/>
  <c r="O11" i="6"/>
  <c r="P17" i="6"/>
  <c r="N29" i="6"/>
  <c r="O29" i="6"/>
  <c r="O28" i="6"/>
  <c r="N26" i="6"/>
  <c r="N25" i="6"/>
  <c r="O25" i="6"/>
  <c r="O24" i="6"/>
  <c r="N22" i="6"/>
  <c r="O22" i="6"/>
  <c r="O21" i="6"/>
  <c r="O20" i="6"/>
  <c r="O17" i="6"/>
  <c r="N15" i="6"/>
  <c r="O16" i="6"/>
  <c r="O9" i="6"/>
  <c r="O8" i="6"/>
  <c r="N28" i="6"/>
  <c r="N27" i="6"/>
  <c r="O27" i="6"/>
  <c r="O26" i="6"/>
  <c r="N24" i="6"/>
  <c r="N23" i="6"/>
  <c r="O23" i="6"/>
  <c r="N21" i="6"/>
  <c r="N20" i="6"/>
  <c r="N17" i="6"/>
  <c r="N16" i="6"/>
  <c r="N14" i="6"/>
</calcChain>
</file>

<file path=xl/sharedStrings.xml><?xml version="1.0" encoding="utf-8"?>
<sst xmlns="http://schemas.openxmlformats.org/spreadsheetml/2006/main" count="128" uniqueCount="128">
  <si>
    <t>구분</t>
  </si>
  <si>
    <t>자산총계</t>
  </si>
  <si>
    <t> 본드포워드 미결제약정 </t>
  </si>
  <si>
    <t>(개별회사 미결제약정) /</t>
  </si>
  <si>
    <t>(보험업계 미결제약정 총액)</t>
  </si>
  <si>
    <t>자산대비</t>
  </si>
  <si>
    <t>본드포워드</t>
  </si>
  <si>
    <t>비중</t>
  </si>
  <si>
    <t> 24년 12월 </t>
  </si>
  <si>
    <t> 25년 3월 </t>
  </si>
  <si>
    <t> 25년 6월 </t>
  </si>
  <si>
    <t> 25년 9월 </t>
  </si>
  <si>
    <t>24년 12월</t>
  </si>
  <si>
    <t>25년 3월</t>
  </si>
  <si>
    <t>25년 6월</t>
  </si>
  <si>
    <t>25년 9월</t>
  </si>
  <si>
    <t>메리츠화재</t>
  </si>
  <si>
    <t>    47,650</t>
  </si>
  <si>
    <t>    48,600</t>
  </si>
  <si>
    <t>    52,100</t>
  </si>
  <si>
    <t>   54,950</t>
  </si>
  <si>
    <t>삼성화재</t>
  </si>
  <si>
    <t>    11,166</t>
  </si>
  <si>
    <t>    12,067</t>
  </si>
  <si>
    <t>    12,598</t>
  </si>
  <si>
    <t>   12,928</t>
  </si>
  <si>
    <t>DB손해보험</t>
  </si>
  <si>
    <t>    31,392</t>
  </si>
  <si>
    <t>    50,826</t>
  </si>
  <si>
    <t>    71,098</t>
  </si>
  <si>
    <t>  116,287</t>
  </si>
  <si>
    <t>현대해상</t>
  </si>
  <si>
    <t>      8,709</t>
  </si>
  <si>
    <t>    11,293</t>
  </si>
  <si>
    <t>    16,039</t>
  </si>
  <si>
    <t>   26,397</t>
  </si>
  <si>
    <t>KB손해보험</t>
  </si>
  <si>
    <t>    21,125</t>
  </si>
  <si>
    <t>    24,216</t>
  </si>
  <si>
    <t>    32,288</t>
  </si>
  <si>
    <t>   36,688</t>
  </si>
  <si>
    <t>한화손해보험</t>
  </si>
  <si>
    <t>    21,429</t>
  </si>
  <si>
    <t>    25,387</t>
  </si>
  <si>
    <t>    28,737</t>
  </si>
  <si>
    <t>   31,454</t>
  </si>
  <si>
    <t>롯데손해보험</t>
  </si>
  <si>
    <t>    36,386</t>
  </si>
  <si>
    <t>    28,873</t>
  </si>
  <si>
    <t>    32,975</t>
  </si>
  <si>
    <t>   32,867</t>
  </si>
  <si>
    <t>흥국화재</t>
  </si>
  <si>
    <t>    33,680</t>
  </si>
  <si>
    <t>    30,080</t>
  </si>
  <si>
    <t>    28,580</t>
  </si>
  <si>
    <t>   30,030</t>
  </si>
  <si>
    <t>    24,766</t>
  </si>
  <si>
    <t>    33,025</t>
  </si>
  <si>
    <t>    34,136</t>
  </si>
  <si>
    <t>   34,790</t>
  </si>
  <si>
    <t>손보합계</t>
  </si>
  <si>
    <t>   236,303</t>
  </si>
  <si>
    <t>   264,367</t>
  </si>
  <si>
    <t>   308,551</t>
  </si>
  <si>
    <t>  376,392</t>
  </si>
  <si>
    <t>삼성생명</t>
  </si>
  <si>
    <t>   122,013</t>
  </si>
  <si>
    <t>   126,471</t>
  </si>
  <si>
    <t>   135,515</t>
  </si>
  <si>
    <t>  135,785</t>
  </si>
  <si>
    <t>한화생명</t>
  </si>
  <si>
    <t>    70,430</t>
  </si>
  <si>
    <t>    73,250</t>
  </si>
  <si>
    <t>    80,150</t>
  </si>
  <si>
    <t>   82,050</t>
  </si>
  <si>
    <t>교보생명</t>
  </si>
  <si>
    <t>    49,786</t>
  </si>
  <si>
    <t>    52,138</t>
  </si>
  <si>
    <t>    57,979</t>
  </si>
  <si>
    <t>   62,140</t>
  </si>
  <si>
    <t>신한라이프</t>
  </si>
  <si>
    <t>    27,004</t>
  </si>
  <si>
    <t>    29,698</t>
  </si>
  <si>
    <t>    32,053</t>
  </si>
  <si>
    <t>   35,802</t>
  </si>
  <si>
    <t>농협생명</t>
  </si>
  <si>
    <t>    18,123</t>
  </si>
  <si>
    <t>    17,544</t>
  </si>
  <si>
    <t>    22,976</t>
  </si>
  <si>
    <t>   31,632</t>
  </si>
  <si>
    <t>DB생명</t>
  </si>
  <si>
    <t>    12,940</t>
  </si>
  <si>
    <t>    12,689</t>
  </si>
  <si>
    <t>    14,310</t>
  </si>
  <si>
    <t>   16,891</t>
  </si>
  <si>
    <t>미래에셋생명</t>
  </si>
  <si>
    <t>    25,838</t>
  </si>
  <si>
    <t>    25,214</t>
  </si>
  <si>
    <t>    24,726</t>
  </si>
  <si>
    <t>   21,609</t>
  </si>
  <si>
    <t>동양생명</t>
  </si>
  <si>
    <t>    12,000</t>
  </si>
  <si>
    <t>    14,800</t>
  </si>
  <si>
    <t>    20,801</t>
  </si>
  <si>
    <t>   21,383</t>
  </si>
  <si>
    <t>흥국생명</t>
  </si>
  <si>
    <t>      1,892</t>
  </si>
  <si>
    <t>      1,703</t>
  </si>
  <si>
    <t>        654</t>
  </si>
  <si>
    <t>     3,531</t>
  </si>
  <si>
    <t>생보합계</t>
  </si>
  <si>
    <t>   340,026</t>
  </si>
  <si>
    <t>   353,507</t>
  </si>
  <si>
    <t>   389,164</t>
  </si>
  <si>
    <t>  410,823</t>
  </si>
  <si>
    <t>생/손보</t>
  </si>
  <si>
    <t>합계</t>
  </si>
  <si>
    <t>  576,328</t>
  </si>
  <si>
    <t>  617,873</t>
  </si>
  <si>
    <t>  697,715</t>
  </si>
  <si>
    <t>  787,215</t>
  </si>
  <si>
    <t>25년 12월</t>
    <phoneticPr fontId="1" type="noConversion"/>
  </si>
  <si>
    <t>26년 3월</t>
    <phoneticPr fontId="1" type="noConversion"/>
  </si>
  <si>
    <t>25년 12월</t>
    <phoneticPr fontId="1" type="noConversion"/>
  </si>
  <si>
    <t>26년 3월</t>
    <phoneticPr fontId="1" type="noConversion"/>
  </si>
  <si>
    <t>NH농협손해보험</t>
    <phoneticPr fontId="1" type="noConversion"/>
  </si>
  <si>
    <t>보험사 본드포워드 현황</t>
    <phoneticPr fontId="1" type="noConversion"/>
  </si>
  <si>
    <t>`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</si>
</sst>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.0%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4"/>
      <color rgb="FF000000"/>
      <name val="맑은 고딕"/>
      <family val="3"/>
      <charset val="129"/>
      <scheme val="minor"/>
    </font>
    <font>
      <sz val="10"/>
      <color rgb="FF000000"/>
      <name val="돋움"/>
      <family val="3"/>
      <charset val="129"/>
    </font>
    <font>
      <b/>
      <sz val="14"/>
      <name val="맑은 고딕"/>
      <family val="3"/>
      <charset val="129"/>
      <scheme val="minor"/>
    </font>
    <font>
      <b/>
      <sz val="10"/>
      <color rgb="FF000000"/>
      <name val="돋움"/>
      <family val="3"/>
      <charset val="129"/>
    </font>
    <font>
      <sz val="10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sz val="10"/>
      <color theme="1"/>
      <name val="돋움"/>
      <family val="2"/>
      <charset val="129"/>
    </font>
    <font>
      <b/>
      <sz val="12"/>
      <color theme="1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6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/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</borders>
  <cellStyleXfs count="7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9" fillId="0" borderId="0">
      <alignment vertical="center"/>
    </xf>
    <xf numFmtId="41" fontId="9" fillId="0" borderId="0" applyFont="0" applyFill="0" applyBorder="0" applyAlignment="0" applyProtection="0">
      <alignment vertical="center"/>
    </xf>
    <xf numFmtId="0" fontId="11" fillId="0" borderId="0">
      <alignment vertical="center"/>
    </xf>
  </cellStyleXfs>
  <cellXfs count="136">
    <xf numFmtId="0" fontId="0" fillId="0" borderId="0" xfId="0">
      <alignment vertical="center"/>
    </xf>
    <xf numFmtId="0" fontId="0" fillId="2" borderId="0" xfId="0" applyFill="1">
      <alignment vertical="center"/>
    </xf>
    <xf numFmtId="0" fontId="5" fillId="5" borderId="4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/>
    </xf>
    <xf numFmtId="10" fontId="5" fillId="3" borderId="7" xfId="0" applyNumberFormat="1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10" fontId="5" fillId="4" borderId="11" xfId="0" applyNumberFormat="1" applyFont="1" applyFill="1" applyBorder="1" applyAlignment="1">
      <alignment horizontal="center" vertical="center"/>
    </xf>
    <xf numFmtId="10" fontId="5" fillId="4" borderId="10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0" fontId="5" fillId="4" borderId="12" xfId="0" applyNumberFormat="1" applyFont="1" applyFill="1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/>
    </xf>
    <xf numFmtId="0" fontId="5" fillId="4" borderId="15" xfId="0" applyFont="1" applyFill="1" applyBorder="1" applyAlignment="1">
      <alignment horizontal="center" vertical="center"/>
    </xf>
    <xf numFmtId="10" fontId="5" fillId="4" borderId="15" xfId="0" applyNumberFormat="1" applyFont="1" applyFill="1" applyBorder="1" applyAlignment="1">
      <alignment horizontal="center" vertical="center"/>
    </xf>
    <xf numFmtId="10" fontId="5" fillId="4" borderId="14" xfId="0" applyNumberFormat="1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10" fontId="5" fillId="4" borderId="5" xfId="0" applyNumberFormat="1" applyFont="1" applyFill="1" applyBorder="1" applyAlignment="1">
      <alignment horizontal="center" vertical="center"/>
    </xf>
    <xf numFmtId="10" fontId="5" fillId="4" borderId="16" xfId="0" applyNumberFormat="1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/>
    </xf>
    <xf numFmtId="3" fontId="4" fillId="7" borderId="16" xfId="0" applyNumberFormat="1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10" fontId="5" fillId="7" borderId="5" xfId="0" applyNumberFormat="1" applyFont="1" applyFill="1" applyBorder="1" applyAlignment="1">
      <alignment horizontal="center" vertical="center"/>
    </xf>
    <xf numFmtId="10" fontId="5" fillId="7" borderId="16" xfId="0" applyNumberFormat="1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0" fontId="5" fillId="4" borderId="23" xfId="0" applyNumberFormat="1" applyFont="1" applyFill="1" applyBorder="1" applyAlignment="1">
      <alignment horizontal="center" vertical="center"/>
    </xf>
    <xf numFmtId="10" fontId="5" fillId="4" borderId="22" xfId="0" applyNumberFormat="1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5" fillId="5" borderId="19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41" fontId="4" fillId="6" borderId="5" xfId="1" applyFont="1" applyFill="1" applyBorder="1" applyAlignment="1">
      <alignment horizontal="center" vertical="center"/>
    </xf>
    <xf numFmtId="41" fontId="4" fillId="3" borderId="5" xfId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41" fontId="4" fillId="2" borderId="11" xfId="1" applyFont="1" applyFill="1" applyBorder="1" applyAlignment="1">
      <alignment horizontal="center" vertical="center"/>
    </xf>
    <xf numFmtId="41" fontId="4" fillId="2" borderId="0" xfId="1" applyFont="1" applyFill="1" applyBorder="1" applyAlignment="1">
      <alignment horizontal="center" vertical="center"/>
    </xf>
    <xf numFmtId="41" fontId="4" fillId="2" borderId="15" xfId="1" applyFont="1" applyFill="1" applyBorder="1" applyAlignment="1">
      <alignment horizontal="center" vertical="center"/>
    </xf>
    <xf numFmtId="41" fontId="4" fillId="6" borderId="13" xfId="1" applyFont="1" applyFill="1" applyBorder="1" applyAlignment="1">
      <alignment horizontal="center" vertical="center"/>
    </xf>
    <xf numFmtId="41" fontId="4" fillId="2" borderId="5" xfId="1" applyFont="1" applyFill="1" applyBorder="1" applyAlignment="1">
      <alignment horizontal="center" vertical="center"/>
    </xf>
    <xf numFmtId="41" fontId="4" fillId="6" borderId="8" xfId="1" applyFont="1" applyFill="1" applyBorder="1" applyAlignment="1">
      <alignment horizontal="center" vertical="center"/>
    </xf>
    <xf numFmtId="41" fontId="7" fillId="2" borderId="23" xfId="1" applyFont="1" applyFill="1" applyBorder="1" applyAlignment="1">
      <alignment horizontal="center" vertical="center"/>
    </xf>
    <xf numFmtId="3" fontId="4" fillId="4" borderId="12" xfId="0" applyNumberFormat="1" applyFont="1" applyFill="1" applyBorder="1" applyAlignment="1">
      <alignment horizontal="center" vertical="center"/>
    </xf>
    <xf numFmtId="41" fontId="7" fillId="6" borderId="21" xfId="1" applyFont="1" applyFill="1" applyBorder="1" applyAlignment="1">
      <alignment horizontal="center" vertical="center"/>
    </xf>
    <xf numFmtId="3" fontId="4" fillId="4" borderId="14" xfId="0" applyNumberFormat="1" applyFont="1" applyFill="1" applyBorder="1" applyAlignment="1">
      <alignment horizontal="center" vertical="center"/>
    </xf>
    <xf numFmtId="41" fontId="4" fillId="6" borderId="5" xfId="0" applyNumberFormat="1" applyFont="1" applyFill="1" applyBorder="1" applyAlignment="1">
      <alignment horizontal="center" vertical="center"/>
    </xf>
    <xf numFmtId="41" fontId="0" fillId="0" borderId="0" xfId="1" applyFont="1" applyAlignment="1">
      <alignment horizontal="center" vertical="center"/>
    </xf>
    <xf numFmtId="3" fontId="4" fillId="4" borderId="10" xfId="0" applyNumberFormat="1" applyFont="1" applyFill="1" applyBorder="1" applyAlignment="1">
      <alignment horizontal="center" vertical="center"/>
    </xf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>
      <alignment vertical="center"/>
    </xf>
    <xf numFmtId="0" fontId="2" fillId="2" borderId="0" xfId="0" applyFont="1" applyFill="1">
      <alignment vertical="center"/>
    </xf>
    <xf numFmtId="0" fontId="12" fillId="2" borderId="0" xfId="0" applyFont="1" applyFill="1">
      <alignment vertical="center"/>
    </xf>
    <xf numFmtId="41" fontId="0" fillId="0" borderId="0" xfId="1" applyFont="1" applyAlignment="1">
      <alignment horizontal="center" vertical="center"/>
    </xf>
    <xf numFmtId="3" fontId="4" fillId="4" borderId="16" xfId="0" applyNumberFormat="1" applyFont="1" applyFill="1" applyBorder="1" applyAlignment="1">
      <alignment horizontal="center" vertical="center"/>
    </xf>
    <xf numFmtId="3" fontId="4" fillId="4" borderId="22" xfId="0" applyNumberFormat="1" applyFont="1" applyFill="1" applyBorder="1" applyAlignment="1">
      <alignment horizontal="center" vertical="center"/>
    </xf>
    <xf numFmtId="3" fontId="4" fillId="3" borderId="7" xfId="0" applyNumberFormat="1" applyFont="1" applyFill="1" applyBorder="1" applyAlignment="1">
      <alignment horizontal="center" vertical="center"/>
    </xf>
    <xf numFmtId="176" fontId="5" fillId="3" borderId="3" xfId="2" applyNumberFormat="1" applyFont="1" applyFill="1" applyBorder="1" applyAlignment="1">
      <alignment horizontal="center" vertical="center"/>
    </xf>
    <xf numFmtId="176" fontId="5" fillId="4" borderId="11" xfId="2" applyNumberFormat="1" applyFont="1" applyFill="1" applyBorder="1" applyAlignment="1">
      <alignment horizontal="center" vertical="center"/>
    </xf>
    <xf numFmtId="176" fontId="5" fillId="4" borderId="15" xfId="2" applyNumberFormat="1" applyFont="1" applyFill="1" applyBorder="1" applyAlignment="1">
      <alignment horizontal="center" vertical="center"/>
    </xf>
    <xf numFmtId="176" fontId="5" fillId="4" borderId="5" xfId="2" applyNumberFormat="1" applyFont="1" applyFill="1" applyBorder="1" applyAlignment="1">
      <alignment horizontal="center" vertical="center"/>
    </xf>
    <xf numFmtId="176" fontId="5" fillId="7" borderId="5" xfId="2" applyNumberFormat="1" applyFont="1" applyFill="1" applyBorder="1" applyAlignment="1">
      <alignment horizontal="center" vertical="center"/>
    </xf>
    <xf numFmtId="176" fontId="0" fillId="0" borderId="0" xfId="2" applyNumberFormat="1" applyFont="1">
      <alignment vertical="center"/>
    </xf>
    <xf numFmtId="176" fontId="5" fillId="4" borderId="23" xfId="2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/>
    </xf>
    <xf numFmtId="0" fontId="4" fillId="5" borderId="24" xfId="0" applyFont="1" applyFill="1" applyBorder="1" applyAlignment="1">
      <alignment horizontal="center" vertical="center"/>
    </xf>
    <xf numFmtId="41" fontId="4" fillId="3" borderId="18" xfId="1" applyFont="1" applyFill="1" applyBorder="1" applyAlignment="1">
      <alignment horizontal="center" vertical="center"/>
    </xf>
    <xf numFmtId="41" fontId="4" fillId="6" borderId="25" xfId="1" applyFont="1" applyFill="1" applyBorder="1" applyAlignment="1">
      <alignment horizontal="center" vertical="center"/>
    </xf>
    <xf numFmtId="41" fontId="4" fillId="6" borderId="20" xfId="1" applyFont="1" applyFill="1" applyBorder="1" applyAlignment="1">
      <alignment horizontal="center" vertical="center"/>
    </xf>
    <xf numFmtId="41" fontId="4" fillId="6" borderId="26" xfId="1" applyFont="1" applyFill="1" applyBorder="1" applyAlignment="1">
      <alignment horizontal="center" vertical="center"/>
    </xf>
    <xf numFmtId="41" fontId="4" fillId="6" borderId="18" xfId="1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 wrapText="1"/>
    </xf>
    <xf numFmtId="10" fontId="5" fillId="3" borderId="24" xfId="0" applyNumberFormat="1" applyFont="1" applyFill="1" applyBorder="1" applyAlignment="1">
      <alignment horizontal="center" vertical="center"/>
    </xf>
    <xf numFmtId="10" fontId="5" fillId="4" borderId="25" xfId="0" applyNumberFormat="1" applyFont="1" applyFill="1" applyBorder="1" applyAlignment="1">
      <alignment horizontal="center" vertical="center"/>
    </xf>
    <xf numFmtId="10" fontId="5" fillId="4" borderId="20" xfId="0" applyNumberFormat="1" applyFont="1" applyFill="1" applyBorder="1" applyAlignment="1">
      <alignment horizontal="center" vertical="center"/>
    </xf>
    <xf numFmtId="10" fontId="5" fillId="4" borderId="0" xfId="0" applyNumberFormat="1" applyFont="1" applyFill="1" applyBorder="1" applyAlignment="1">
      <alignment horizontal="center" vertical="center"/>
    </xf>
    <xf numFmtId="176" fontId="5" fillId="4" borderId="0" xfId="2" applyNumberFormat="1" applyFont="1" applyFill="1" applyBorder="1" applyAlignment="1">
      <alignment horizontal="center" vertical="center"/>
    </xf>
    <xf numFmtId="10" fontId="5" fillId="4" borderId="26" xfId="0" applyNumberFormat="1" applyFont="1" applyFill="1" applyBorder="1" applyAlignment="1">
      <alignment horizontal="center" vertical="center"/>
    </xf>
    <xf numFmtId="10" fontId="5" fillId="4" borderId="18" xfId="0" applyNumberFormat="1" applyFont="1" applyFill="1" applyBorder="1" applyAlignment="1">
      <alignment horizontal="center" vertical="center"/>
    </xf>
    <xf numFmtId="10" fontId="5" fillId="7" borderId="18" xfId="0" applyNumberFormat="1" applyFont="1" applyFill="1" applyBorder="1" applyAlignment="1">
      <alignment horizontal="center" vertical="center"/>
    </xf>
    <xf numFmtId="10" fontId="5" fillId="3" borderId="6" xfId="0" applyNumberFormat="1" applyFont="1" applyFill="1" applyBorder="1" applyAlignment="1">
      <alignment horizontal="center" vertical="center"/>
    </xf>
    <xf numFmtId="10" fontId="5" fillId="4" borderId="9" xfId="0" applyNumberFormat="1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10" fontId="5" fillId="4" borderId="13" xfId="0" applyNumberFormat="1" applyFont="1" applyFill="1" applyBorder="1" applyAlignment="1">
      <alignment horizontal="center" vertical="center"/>
    </xf>
    <xf numFmtId="10" fontId="5" fillId="4" borderId="8" xfId="0" applyNumberFormat="1" applyFont="1" applyFill="1" applyBorder="1" applyAlignment="1">
      <alignment horizontal="center" vertical="center"/>
    </xf>
    <xf numFmtId="10" fontId="5" fillId="7" borderId="8" xfId="0" applyNumberFormat="1" applyFont="1" applyFill="1" applyBorder="1" applyAlignment="1">
      <alignment horizontal="center" vertical="center"/>
    </xf>
    <xf numFmtId="10" fontId="5" fillId="4" borderId="21" xfId="0" applyNumberFormat="1" applyFont="1" applyFill="1" applyBorder="1" applyAlignment="1">
      <alignment horizontal="center" vertical="center"/>
    </xf>
    <xf numFmtId="41" fontId="4" fillId="6" borderId="6" xfId="0" applyNumberFormat="1" applyFont="1" applyFill="1" applyBorder="1" applyAlignment="1">
      <alignment horizontal="center" vertical="center"/>
    </xf>
    <xf numFmtId="3" fontId="10" fillId="0" borderId="0" xfId="0" applyNumberFormat="1" applyFont="1" applyBorder="1" applyAlignment="1">
      <alignment horizontal="right" vertical="center" wrapText="1"/>
    </xf>
    <xf numFmtId="3" fontId="10" fillId="0" borderId="0" xfId="0" applyNumberFormat="1" applyFont="1" applyBorder="1">
      <alignment vertical="center"/>
    </xf>
    <xf numFmtId="41" fontId="0" fillId="0" borderId="0" xfId="1" applyFont="1" applyBorder="1" applyAlignment="1">
      <alignment horizontal="center" vertical="center"/>
    </xf>
    <xf numFmtId="41" fontId="4" fillId="2" borderId="1" xfId="0" applyNumberFormat="1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19" xfId="0" applyFont="1" applyFill="1" applyBorder="1" applyAlignment="1">
      <alignment horizontal="center" vertical="center" wrapText="1"/>
    </xf>
    <xf numFmtId="0" fontId="5" fillId="5" borderId="20" xfId="0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 wrapText="1"/>
    </xf>
    <xf numFmtId="0" fontId="5" fillId="5" borderId="12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/>
    </xf>
    <xf numFmtId="0" fontId="5" fillId="5" borderId="17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18" xfId="0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</cellXfs>
  <cellStyles count="7">
    <cellStyle name="백분율" xfId="2" builtinId="5"/>
    <cellStyle name="쉼표 [0]" xfId="1" builtinId="6"/>
    <cellStyle name="쉼표 [0] 2" xfId="5" xr:uid="{00000000-0005-0000-0000-000002000000}"/>
    <cellStyle name="표준" xfId="0" builtinId="0"/>
    <cellStyle name="표준 2" xfId="3" xr:uid="{00000000-0005-0000-0000-000004000000}"/>
    <cellStyle name="표준 2 2" xfId="6" xr:uid="{00000000-0005-0000-0000-000005000000}"/>
    <cellStyle name="표준 3" xfId="4" xr:uid="{00000000-0005-0000-0000-000006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50"/>
  <sheetViews>
    <sheetView tabSelected="1" topLeftCell="A13" zoomScale="85" zoomScaleNormal="85" workbookViewId="0">
      <selection activeCell="C36" sqref="C36"/>
    </sheetView>
  </sheetViews>
  <sheetFormatPr defaultRowHeight="17" x14ac:dyDescent="0.45"/>
  <cols>
    <col min="1" max="1" width="7.25" style="66" customWidth="1"/>
    <col min="2" max="2" width="19.75" customWidth="1"/>
    <col min="3" max="6" width="15.83203125" customWidth="1"/>
    <col min="7" max="7" width="15" customWidth="1"/>
    <col min="8" max="8" width="15.83203125" customWidth="1"/>
    <col min="9" max="9" width="13.58203125" customWidth="1"/>
    <col min="10" max="12" width="15.83203125" customWidth="1"/>
    <col min="13" max="14" width="18.5" customWidth="1"/>
    <col min="15" max="15" width="15.08203125" customWidth="1"/>
    <col min="16" max="16" width="16.75" customWidth="1"/>
  </cols>
  <sheetData>
    <row r="1" spans="1:17" s="1" customFormat="1" x14ac:dyDescent="0.45">
      <c r="A1" s="67"/>
    </row>
    <row r="2" spans="1:17" s="1" customFormat="1" x14ac:dyDescent="0.45">
      <c r="A2" s="67"/>
    </row>
    <row r="3" spans="1:17" s="1" customFormat="1" ht="17.5" x14ac:dyDescent="0.45">
      <c r="A3" s="67"/>
      <c r="B3" s="73" t="s">
        <v>126</v>
      </c>
    </row>
    <row r="4" spans="1:17" s="1" customFormat="1" ht="17.5" thickBot="1" x14ac:dyDescent="0.5">
      <c r="A4" s="67"/>
    </row>
    <row r="5" spans="1:17" ht="20.25" customHeight="1" x14ac:dyDescent="0.45">
      <c r="B5" s="125" t="s">
        <v>0</v>
      </c>
      <c r="C5" s="128" t="s">
        <v>1</v>
      </c>
      <c r="D5" s="132" t="s">
        <v>2</v>
      </c>
      <c r="E5" s="133"/>
      <c r="F5" s="133"/>
      <c r="G5" s="133"/>
      <c r="H5" s="133"/>
      <c r="I5" s="133"/>
      <c r="J5" s="115" t="s">
        <v>3</v>
      </c>
      <c r="K5" s="116"/>
      <c r="L5" s="116"/>
      <c r="M5" s="116"/>
      <c r="N5" s="116"/>
      <c r="O5" s="117"/>
      <c r="P5" s="38" t="s">
        <v>5</v>
      </c>
      <c r="Q5" s="131"/>
    </row>
    <row r="6" spans="1:17" ht="21" customHeight="1" thickBot="1" x14ac:dyDescent="0.5">
      <c r="B6" s="126"/>
      <c r="C6" s="129"/>
      <c r="D6" s="134"/>
      <c r="E6" s="135"/>
      <c r="F6" s="135"/>
      <c r="G6" s="135"/>
      <c r="H6" s="135"/>
      <c r="I6" s="135"/>
      <c r="J6" s="118" t="s">
        <v>4</v>
      </c>
      <c r="K6" s="119"/>
      <c r="L6" s="119"/>
      <c r="M6" s="119"/>
      <c r="N6" s="119"/>
      <c r="O6" s="120"/>
      <c r="P6" s="39" t="s">
        <v>6</v>
      </c>
      <c r="Q6" s="131"/>
    </row>
    <row r="7" spans="1:17" ht="21.5" thickBot="1" x14ac:dyDescent="0.5">
      <c r="B7" s="127"/>
      <c r="C7" s="130"/>
      <c r="D7" s="2" t="s">
        <v>8</v>
      </c>
      <c r="E7" s="2" t="s">
        <v>9</v>
      </c>
      <c r="F7" s="4" t="s">
        <v>10</v>
      </c>
      <c r="G7" s="5" t="s">
        <v>11</v>
      </c>
      <c r="H7" s="37" t="s">
        <v>121</v>
      </c>
      <c r="I7" s="87" t="s">
        <v>122</v>
      </c>
      <c r="J7" s="86" t="s">
        <v>12</v>
      </c>
      <c r="K7" s="4" t="s">
        <v>13</v>
      </c>
      <c r="L7" s="4" t="s">
        <v>14</v>
      </c>
      <c r="M7" s="4" t="s">
        <v>15</v>
      </c>
      <c r="N7" s="4" t="s">
        <v>123</v>
      </c>
      <c r="O7" s="85" t="s">
        <v>124</v>
      </c>
      <c r="P7" s="93" t="s">
        <v>7</v>
      </c>
      <c r="Q7" s="3"/>
    </row>
    <row r="8" spans="1:17" ht="21.5" thickBot="1" x14ac:dyDescent="0.5">
      <c r="B8" s="6" t="s">
        <v>16</v>
      </c>
      <c r="C8" s="77">
        <v>431158.99748228001</v>
      </c>
      <c r="D8" s="7" t="s">
        <v>17</v>
      </c>
      <c r="E8" s="7" t="s">
        <v>18</v>
      </c>
      <c r="F8" s="8" t="s">
        <v>19</v>
      </c>
      <c r="G8" s="9" t="s">
        <v>20</v>
      </c>
      <c r="H8" s="51">
        <v>55550</v>
      </c>
      <c r="I8" s="88">
        <v>58500</v>
      </c>
      <c r="J8" s="94">
        <v>8.3000000000000004E-2</v>
      </c>
      <c r="K8" s="10">
        <v>7.9000000000000001E-2</v>
      </c>
      <c r="L8" s="10">
        <v>7.4999999999999997E-2</v>
      </c>
      <c r="M8" s="10">
        <v>7.0000000000000007E-2</v>
      </c>
      <c r="N8" s="78">
        <f t="shared" ref="N8:N17" si="0">H8/$H$31</f>
        <v>6.709196090063077E-2</v>
      </c>
      <c r="O8" s="102">
        <f t="shared" ref="O8:O17" si="1">I8/$I$31</f>
        <v>7.0518758377111357E-2</v>
      </c>
      <c r="P8" s="11">
        <f>I8/C8</f>
        <v>0.1356808053214853</v>
      </c>
      <c r="Q8" s="3"/>
    </row>
    <row r="9" spans="1:17" ht="21" x14ac:dyDescent="0.45">
      <c r="B9" s="12" t="s">
        <v>21</v>
      </c>
      <c r="C9" s="65">
        <v>978823.34562956996</v>
      </c>
      <c r="D9" s="13" t="s">
        <v>22</v>
      </c>
      <c r="E9" s="13" t="s">
        <v>23</v>
      </c>
      <c r="F9" s="13" t="s">
        <v>24</v>
      </c>
      <c r="G9" s="45" t="s">
        <v>25</v>
      </c>
      <c r="H9" s="53">
        <v>17183.8</v>
      </c>
      <c r="I9" s="89">
        <v>12729.2</v>
      </c>
      <c r="J9" s="95">
        <v>1.9E-2</v>
      </c>
      <c r="K9" s="14">
        <v>0.02</v>
      </c>
      <c r="L9" s="14">
        <v>1.7999999999999999E-2</v>
      </c>
      <c r="M9" s="14">
        <v>1.6E-2</v>
      </c>
      <c r="N9" s="79">
        <f t="shared" si="0"/>
        <v>2.0754182497286389E-2</v>
      </c>
      <c r="O9" s="103">
        <f t="shared" si="1"/>
        <v>1.5344399643314972E-2</v>
      </c>
      <c r="P9" s="15">
        <f t="shared" ref="P9:P17" si="2">I9/C9</f>
        <v>1.3004593787873643E-2</v>
      </c>
      <c r="Q9" s="3"/>
    </row>
    <row r="10" spans="1:17" ht="21" x14ac:dyDescent="0.45">
      <c r="B10" s="16" t="s">
        <v>26</v>
      </c>
      <c r="C10" s="60">
        <v>592711.56000000006</v>
      </c>
      <c r="D10" s="17" t="s">
        <v>27</v>
      </c>
      <c r="E10" s="17" t="s">
        <v>28</v>
      </c>
      <c r="F10" s="17" t="s">
        <v>29</v>
      </c>
      <c r="G10" s="46" t="s">
        <v>30</v>
      </c>
      <c r="H10" s="54">
        <v>136617.67000000001</v>
      </c>
      <c r="I10" s="90">
        <v>127240.99</v>
      </c>
      <c r="J10" s="96">
        <v>5.3999999999999999E-2</v>
      </c>
      <c r="K10" s="97">
        <v>8.2000000000000003E-2</v>
      </c>
      <c r="L10" s="97">
        <v>0.10199999999999999</v>
      </c>
      <c r="M10" s="97">
        <v>0.14799999999999999</v>
      </c>
      <c r="N10" s="98">
        <f t="shared" si="0"/>
        <v>0.16500355308686368</v>
      </c>
      <c r="O10" s="104">
        <f t="shared" si="1"/>
        <v>0.15338250648674259</v>
      </c>
      <c r="P10" s="18">
        <f t="shared" si="2"/>
        <v>0.21467607279331619</v>
      </c>
      <c r="Q10" s="3"/>
    </row>
    <row r="11" spans="1:17" ht="21" x14ac:dyDescent="0.45">
      <c r="B11" s="12" t="s">
        <v>31</v>
      </c>
      <c r="C11" s="65">
        <v>486600.21404364001</v>
      </c>
      <c r="D11" s="13" t="s">
        <v>32</v>
      </c>
      <c r="E11" s="13" t="s">
        <v>33</v>
      </c>
      <c r="F11" s="13" t="s">
        <v>34</v>
      </c>
      <c r="G11" s="45" t="s">
        <v>35</v>
      </c>
      <c r="H11" s="53">
        <v>36785.660600000003</v>
      </c>
      <c r="I11" s="89">
        <v>42817.719599999997</v>
      </c>
      <c r="J11" s="95">
        <v>1.4999999999999999E-2</v>
      </c>
      <c r="K11" s="14">
        <v>1.7999999999999999E-2</v>
      </c>
      <c r="L11" s="14">
        <v>2.3E-2</v>
      </c>
      <c r="M11" s="14">
        <v>3.4000000000000002E-2</v>
      </c>
      <c r="N11" s="79">
        <f t="shared" si="0"/>
        <v>4.4428840732296561E-2</v>
      </c>
      <c r="O11" s="103">
        <f t="shared" si="1"/>
        <v>5.1614571328740248E-2</v>
      </c>
      <c r="P11" s="15">
        <f t="shared" si="2"/>
        <v>8.7993630837490663E-2</v>
      </c>
      <c r="Q11" s="3"/>
    </row>
    <row r="12" spans="1:17" ht="21" x14ac:dyDescent="0.45">
      <c r="B12" s="19" t="s">
        <v>36</v>
      </c>
      <c r="C12" s="62">
        <v>444037.22</v>
      </c>
      <c r="D12" s="20" t="s">
        <v>37</v>
      </c>
      <c r="E12" s="20" t="s">
        <v>38</v>
      </c>
      <c r="F12" s="20" t="s">
        <v>39</v>
      </c>
      <c r="G12" s="47" t="s">
        <v>40</v>
      </c>
      <c r="H12" s="55">
        <v>49988.13</v>
      </c>
      <c r="I12" s="91">
        <v>50953.66</v>
      </c>
      <c r="J12" s="99">
        <v>3.6999999999999998E-2</v>
      </c>
      <c r="K12" s="21">
        <v>3.9E-2</v>
      </c>
      <c r="L12" s="21">
        <v>4.5999999999999999E-2</v>
      </c>
      <c r="M12" s="21">
        <v>4.7E-2</v>
      </c>
      <c r="N12" s="80">
        <f t="shared" si="0"/>
        <v>6.0374467388940554E-2</v>
      </c>
      <c r="O12" s="105">
        <f t="shared" si="1"/>
        <v>6.1422031418281772E-2</v>
      </c>
      <c r="P12" s="22">
        <f t="shared" si="2"/>
        <v>0.11475087606394799</v>
      </c>
      <c r="Q12" s="3"/>
    </row>
    <row r="13" spans="1:17" ht="21" x14ac:dyDescent="0.45">
      <c r="B13" s="19" t="s">
        <v>41</v>
      </c>
      <c r="C13" s="62">
        <v>197177.72896000001</v>
      </c>
      <c r="D13" s="20" t="s">
        <v>42</v>
      </c>
      <c r="E13" s="20" t="s">
        <v>43</v>
      </c>
      <c r="F13" s="20" t="s">
        <v>44</v>
      </c>
      <c r="G13" s="47" t="s">
        <v>45</v>
      </c>
      <c r="H13" s="55">
        <v>30812.718840000001</v>
      </c>
      <c r="I13" s="91">
        <v>32805.48648</v>
      </c>
      <c r="J13" s="99">
        <v>3.6999999999999998E-2</v>
      </c>
      <c r="K13" s="21">
        <v>4.1000000000000002E-2</v>
      </c>
      <c r="L13" s="21">
        <v>4.1000000000000002E-2</v>
      </c>
      <c r="M13" s="21">
        <v>0.04</v>
      </c>
      <c r="N13" s="80">
        <f t="shared" si="0"/>
        <v>3.721486458425579E-2</v>
      </c>
      <c r="O13" s="105">
        <f t="shared" si="1"/>
        <v>3.9545336316695948E-2</v>
      </c>
      <c r="P13" s="22">
        <f t="shared" si="2"/>
        <v>0.1663752121146248</v>
      </c>
      <c r="Q13" s="3"/>
    </row>
    <row r="14" spans="1:17" ht="21" x14ac:dyDescent="0.45">
      <c r="B14" s="19" t="s">
        <v>46</v>
      </c>
      <c r="C14" s="62">
        <v>138687.98000000001</v>
      </c>
      <c r="D14" s="20" t="s">
        <v>47</v>
      </c>
      <c r="E14" s="20" t="s">
        <v>48</v>
      </c>
      <c r="F14" s="20" t="s">
        <v>49</v>
      </c>
      <c r="G14" s="47" t="s">
        <v>50</v>
      </c>
      <c r="H14" s="55">
        <v>33416.9</v>
      </c>
      <c r="I14" s="91">
        <v>31443.02</v>
      </c>
      <c r="J14" s="99">
        <v>6.3E-2</v>
      </c>
      <c r="K14" s="21">
        <v>4.7E-2</v>
      </c>
      <c r="L14" s="21">
        <v>4.7E-2</v>
      </c>
      <c r="M14" s="21">
        <v>4.2000000000000003E-2</v>
      </c>
      <c r="N14" s="80">
        <f t="shared" si="0"/>
        <v>4.0360132281193312E-2</v>
      </c>
      <c r="O14" s="105">
        <f t="shared" si="1"/>
        <v>3.7902952650028715E-2</v>
      </c>
      <c r="P14" s="22">
        <f t="shared" si="2"/>
        <v>0.22671770113026377</v>
      </c>
      <c r="Q14" s="3"/>
    </row>
    <row r="15" spans="1:17" ht="21" x14ac:dyDescent="0.45">
      <c r="B15" s="19" t="s">
        <v>51</v>
      </c>
      <c r="C15" s="62">
        <v>119369.05</v>
      </c>
      <c r="D15" s="20" t="s">
        <v>52</v>
      </c>
      <c r="E15" s="20" t="s">
        <v>53</v>
      </c>
      <c r="F15" s="20" t="s">
        <v>54</v>
      </c>
      <c r="G15" s="47" t="s">
        <v>55</v>
      </c>
      <c r="H15" s="55">
        <v>30280</v>
      </c>
      <c r="I15" s="91">
        <v>29780</v>
      </c>
      <c r="J15" s="99">
        <v>5.8000000000000003E-2</v>
      </c>
      <c r="K15" s="21">
        <v>4.9000000000000002E-2</v>
      </c>
      <c r="L15" s="21">
        <v>4.1000000000000002E-2</v>
      </c>
      <c r="M15" s="21">
        <v>3.7999999999999999E-2</v>
      </c>
      <c r="N15" s="80">
        <f t="shared" si="0"/>
        <v>3.6571459515231317E-2</v>
      </c>
      <c r="O15" s="105">
        <f t="shared" si="1"/>
        <v>3.5898267084963693E-2</v>
      </c>
      <c r="P15" s="22">
        <f t="shared" si="2"/>
        <v>0.24947840332146398</v>
      </c>
      <c r="Q15" s="3"/>
    </row>
    <row r="16" spans="1:17" ht="21.5" thickBot="1" x14ac:dyDescent="0.5">
      <c r="B16" s="23" t="s">
        <v>125</v>
      </c>
      <c r="C16" s="75">
        <v>124662.37541061</v>
      </c>
      <c r="D16" s="24" t="s">
        <v>56</v>
      </c>
      <c r="E16" s="24" t="s">
        <v>57</v>
      </c>
      <c r="F16" s="24" t="s">
        <v>58</v>
      </c>
      <c r="G16" s="44" t="s">
        <v>59</v>
      </c>
      <c r="H16" s="57">
        <v>36200.339999999997</v>
      </c>
      <c r="I16" s="92">
        <v>34608.18</v>
      </c>
      <c r="J16" s="100">
        <v>4.2999999999999997E-2</v>
      </c>
      <c r="K16" s="25">
        <v>5.2999999999999999E-2</v>
      </c>
      <c r="L16" s="25">
        <v>4.9000000000000002E-2</v>
      </c>
      <c r="M16" s="25">
        <v>4.3999999999999997E-2</v>
      </c>
      <c r="N16" s="81">
        <f t="shared" si="0"/>
        <v>4.3721904516103326E-2</v>
      </c>
      <c r="O16" s="106">
        <f t="shared" si="1"/>
        <v>4.1718391167377397E-2</v>
      </c>
      <c r="P16" s="26">
        <f t="shared" si="2"/>
        <v>0.27761527795382041</v>
      </c>
      <c r="Q16" s="3"/>
    </row>
    <row r="17" spans="1:17" ht="21.5" thickBot="1" x14ac:dyDescent="0.5">
      <c r="B17" s="27" t="s">
        <v>60</v>
      </c>
      <c r="C17" s="28">
        <f>SUM(C8:C16)</f>
        <v>3513228.4715260998</v>
      </c>
      <c r="D17" s="29" t="s">
        <v>61</v>
      </c>
      <c r="E17" s="29" t="s">
        <v>62</v>
      </c>
      <c r="F17" s="29" t="s">
        <v>63</v>
      </c>
      <c r="G17" s="49" t="s">
        <v>64</v>
      </c>
      <c r="H17" s="50">
        <f>SUM(H8:H16)</f>
        <v>426835.21944000002</v>
      </c>
      <c r="I17" s="50">
        <f>SUM(I8:I16)</f>
        <v>420878.25608000008</v>
      </c>
      <c r="J17" s="101">
        <v>0.41</v>
      </c>
      <c r="K17" s="30">
        <v>0.42799999999999999</v>
      </c>
      <c r="L17" s="30">
        <v>0.442</v>
      </c>
      <c r="M17" s="30">
        <v>0.47799999999999998</v>
      </c>
      <c r="N17" s="82">
        <f t="shared" si="0"/>
        <v>0.5155213655028017</v>
      </c>
      <c r="O17" s="107">
        <f t="shared" si="1"/>
        <v>0.50734721447325681</v>
      </c>
      <c r="P17" s="31">
        <f t="shared" si="2"/>
        <v>0.11979814563474039</v>
      </c>
      <c r="Q17" s="3"/>
    </row>
    <row r="18" spans="1:17" x14ac:dyDescent="0.45">
      <c r="N18" s="83"/>
    </row>
    <row r="19" spans="1:17" ht="17.5" thickBot="1" x14ac:dyDescent="0.5">
      <c r="N19" s="83"/>
    </row>
    <row r="20" spans="1:17" ht="21" x14ac:dyDescent="0.45">
      <c r="B20" s="32" t="s">
        <v>65</v>
      </c>
      <c r="C20" s="76">
        <v>3288702.4</v>
      </c>
      <c r="D20" s="33" t="s">
        <v>66</v>
      </c>
      <c r="E20" s="33" t="s">
        <v>67</v>
      </c>
      <c r="F20" s="33" t="s">
        <v>68</v>
      </c>
      <c r="G20" s="48" t="s">
        <v>69</v>
      </c>
      <c r="H20" s="59">
        <v>126471.03999999999</v>
      </c>
      <c r="I20" s="61">
        <v>132160.01999999999</v>
      </c>
      <c r="J20" s="34">
        <v>0.21199999999999999</v>
      </c>
      <c r="K20" s="34">
        <v>0.20499999999999999</v>
      </c>
      <c r="L20" s="34">
        <v>0.19400000000000001</v>
      </c>
      <c r="M20" s="34">
        <v>0.17199999999999999</v>
      </c>
      <c r="N20" s="84">
        <f t="shared" ref="N20:N29" si="3">H20/$H$31</f>
        <v>0.15274869614297226</v>
      </c>
      <c r="O20" s="108">
        <f t="shared" ref="O20:O29" si="4">I20/$I$31</f>
        <v>0.15931214559819151</v>
      </c>
      <c r="P20" s="35">
        <f t="shared" ref="P20:P29" si="5">I20/C20</f>
        <v>4.0186068523561144E-2</v>
      </c>
      <c r="Q20" s="3"/>
    </row>
    <row r="21" spans="1:17" ht="21" x14ac:dyDescent="0.45">
      <c r="B21" s="19" t="s">
        <v>70</v>
      </c>
      <c r="C21" s="62">
        <v>1240176.9099999999</v>
      </c>
      <c r="D21" s="20" t="s">
        <v>71</v>
      </c>
      <c r="E21" s="20" t="s">
        <v>72</v>
      </c>
      <c r="F21" s="20" t="s">
        <v>73</v>
      </c>
      <c r="G21" s="47" t="s">
        <v>74</v>
      </c>
      <c r="H21" s="55">
        <v>73250</v>
      </c>
      <c r="I21" s="56">
        <v>88670</v>
      </c>
      <c r="J21" s="21">
        <v>0.122</v>
      </c>
      <c r="K21" s="21">
        <v>0.11899999999999999</v>
      </c>
      <c r="L21" s="21">
        <v>0.115</v>
      </c>
      <c r="M21" s="21">
        <v>0.104</v>
      </c>
      <c r="N21" s="80">
        <f t="shared" si="3"/>
        <v>8.8469597407222392E-2</v>
      </c>
      <c r="O21" s="105">
        <f t="shared" si="4"/>
        <v>0.10688715051792246</v>
      </c>
      <c r="P21" s="22">
        <f t="shared" si="5"/>
        <v>7.1497863962005234E-2</v>
      </c>
      <c r="Q21" s="3"/>
    </row>
    <row r="22" spans="1:17" ht="21" x14ac:dyDescent="0.45">
      <c r="B22" s="19" t="s">
        <v>75</v>
      </c>
      <c r="C22" s="62">
        <v>1280589.89898137</v>
      </c>
      <c r="D22" s="20" t="s">
        <v>76</v>
      </c>
      <c r="E22" s="20" t="s">
        <v>77</v>
      </c>
      <c r="F22" s="20" t="s">
        <v>78</v>
      </c>
      <c r="G22" s="47" t="s">
        <v>79</v>
      </c>
      <c r="H22" s="55">
        <v>62812.72</v>
      </c>
      <c r="I22" s="56">
        <v>52999.43</v>
      </c>
      <c r="J22" s="21">
        <v>8.5999999999999993E-2</v>
      </c>
      <c r="K22" s="21">
        <v>8.4000000000000005E-2</v>
      </c>
      <c r="L22" s="21">
        <v>8.3000000000000004E-2</v>
      </c>
      <c r="M22" s="21">
        <v>7.9000000000000001E-2</v>
      </c>
      <c r="N22" s="80">
        <f t="shared" si="3"/>
        <v>7.5863700347475582E-2</v>
      </c>
      <c r="O22" s="105">
        <f t="shared" si="4"/>
        <v>6.3888102534950877E-2</v>
      </c>
      <c r="P22" s="22">
        <f t="shared" si="5"/>
        <v>4.1386731257335205E-2</v>
      </c>
      <c r="Q22" s="3"/>
    </row>
    <row r="23" spans="1:17" ht="21" x14ac:dyDescent="0.45">
      <c r="B23" s="19" t="s">
        <v>80</v>
      </c>
      <c r="C23" s="62">
        <v>577251.5</v>
      </c>
      <c r="D23" s="20" t="s">
        <v>81</v>
      </c>
      <c r="E23" s="20" t="s">
        <v>82</v>
      </c>
      <c r="F23" s="20" t="s">
        <v>83</v>
      </c>
      <c r="G23" s="47" t="s">
        <v>84</v>
      </c>
      <c r="H23" s="55">
        <v>36257.07</v>
      </c>
      <c r="I23" s="56">
        <v>33651.019999999997</v>
      </c>
      <c r="J23" s="21">
        <v>4.7E-2</v>
      </c>
      <c r="K23" s="21">
        <v>4.8000000000000001E-2</v>
      </c>
      <c r="L23" s="21">
        <v>4.5999999999999999E-2</v>
      </c>
      <c r="M23" s="21">
        <v>4.4999999999999998E-2</v>
      </c>
      <c r="N23" s="80">
        <f t="shared" si="3"/>
        <v>4.3790421652771069E-2</v>
      </c>
      <c r="O23" s="105">
        <f t="shared" si="4"/>
        <v>4.056458373544173E-2</v>
      </c>
      <c r="P23" s="22">
        <f t="shared" si="5"/>
        <v>5.8295249124515044E-2</v>
      </c>
      <c r="Q23" s="3"/>
    </row>
    <row r="24" spans="1:17" ht="21" x14ac:dyDescent="0.45">
      <c r="B24" s="19" t="s">
        <v>85</v>
      </c>
      <c r="C24" s="62">
        <v>519167.23843243998</v>
      </c>
      <c r="D24" s="20" t="s">
        <v>86</v>
      </c>
      <c r="E24" s="20" t="s">
        <v>87</v>
      </c>
      <c r="F24" s="20" t="s">
        <v>88</v>
      </c>
      <c r="G24" s="47" t="s">
        <v>89</v>
      </c>
      <c r="H24" s="55">
        <v>37418.82</v>
      </c>
      <c r="I24" s="56">
        <v>39726.39</v>
      </c>
      <c r="J24" s="21">
        <v>3.1E-2</v>
      </c>
      <c r="K24" s="21">
        <v>2.8000000000000001E-2</v>
      </c>
      <c r="L24" s="21">
        <v>3.3000000000000002E-2</v>
      </c>
      <c r="M24" s="21">
        <v>0.04</v>
      </c>
      <c r="N24" s="80">
        <f t="shared" si="3"/>
        <v>4.5193555506529981E-2</v>
      </c>
      <c r="O24" s="105">
        <f t="shared" si="4"/>
        <v>4.7888131582989615E-2</v>
      </c>
      <c r="P24" s="22">
        <f t="shared" si="5"/>
        <v>7.6519447028184653E-2</v>
      </c>
      <c r="Q24" s="3"/>
    </row>
    <row r="25" spans="1:17" ht="21" x14ac:dyDescent="0.45">
      <c r="B25" s="19" t="s">
        <v>90</v>
      </c>
      <c r="C25" s="62">
        <v>119622.98509865</v>
      </c>
      <c r="D25" s="20" t="s">
        <v>91</v>
      </c>
      <c r="E25" s="20" t="s">
        <v>92</v>
      </c>
      <c r="F25" s="20" t="s">
        <v>93</v>
      </c>
      <c r="G25" s="47" t="s">
        <v>94</v>
      </c>
      <c r="H25" s="55">
        <v>18184.04</v>
      </c>
      <c r="I25" s="56">
        <v>17946.669999999998</v>
      </c>
      <c r="J25" s="21">
        <v>2.1999999999999999E-2</v>
      </c>
      <c r="K25" s="21">
        <v>2.1000000000000001E-2</v>
      </c>
      <c r="L25" s="21">
        <v>2.1000000000000001E-2</v>
      </c>
      <c r="M25" s="21">
        <v>2.1000000000000001E-2</v>
      </c>
      <c r="N25" s="80">
        <f t="shared" si="3"/>
        <v>2.1962248437362844E-2</v>
      </c>
      <c r="O25" s="105">
        <f t="shared" si="4"/>
        <v>2.1633792912884663E-2</v>
      </c>
      <c r="P25" s="22">
        <f t="shared" si="5"/>
        <v>0.15002693658915001</v>
      </c>
      <c r="Q25" s="3"/>
    </row>
    <row r="26" spans="1:17" ht="21" x14ac:dyDescent="0.45">
      <c r="B26" s="19" t="s">
        <v>95</v>
      </c>
      <c r="C26" s="62">
        <v>322012.38251402002</v>
      </c>
      <c r="D26" s="20" t="s">
        <v>96</v>
      </c>
      <c r="E26" s="20" t="s">
        <v>97</v>
      </c>
      <c r="F26" s="20" t="s">
        <v>98</v>
      </c>
      <c r="G26" s="47" t="s">
        <v>99</v>
      </c>
      <c r="H26" s="55">
        <v>25214.26</v>
      </c>
      <c r="I26" s="56">
        <v>20428.41</v>
      </c>
      <c r="J26" s="21">
        <v>4.4999999999999998E-2</v>
      </c>
      <c r="K26" s="21">
        <v>4.1000000000000002E-2</v>
      </c>
      <c r="L26" s="21">
        <v>3.5000000000000003E-2</v>
      </c>
      <c r="M26" s="21">
        <v>2.7E-2</v>
      </c>
      <c r="N26" s="80">
        <f t="shared" si="3"/>
        <v>3.0453179947044794E-2</v>
      </c>
      <c r="O26" s="105">
        <f t="shared" si="4"/>
        <v>2.4625403569548125E-2</v>
      </c>
      <c r="P26" s="22">
        <f t="shared" si="5"/>
        <v>6.3439827501386756E-2</v>
      </c>
      <c r="Q26" s="3"/>
    </row>
    <row r="27" spans="1:17" ht="21" x14ac:dyDescent="0.45">
      <c r="B27" s="19" t="s">
        <v>100</v>
      </c>
      <c r="C27" s="62">
        <v>344614.1</v>
      </c>
      <c r="D27" s="20" t="s">
        <v>101</v>
      </c>
      <c r="E27" s="20" t="s">
        <v>102</v>
      </c>
      <c r="F27" s="20" t="s">
        <v>103</v>
      </c>
      <c r="G27" s="47" t="s">
        <v>104</v>
      </c>
      <c r="H27" s="55">
        <v>19821.88</v>
      </c>
      <c r="I27" s="56">
        <v>21616.080000000002</v>
      </c>
      <c r="J27" s="21">
        <v>2.1000000000000001E-2</v>
      </c>
      <c r="K27" s="21">
        <v>2.4E-2</v>
      </c>
      <c r="L27" s="21">
        <v>0.03</v>
      </c>
      <c r="M27" s="21">
        <v>2.7E-2</v>
      </c>
      <c r="N27" s="80">
        <f t="shared" si="3"/>
        <v>2.3940392402106121E-2</v>
      </c>
      <c r="O27" s="105">
        <f t="shared" si="4"/>
        <v>2.6057079018466826E-2</v>
      </c>
      <c r="P27" s="22">
        <f t="shared" si="5"/>
        <v>6.2725465963232502E-2</v>
      </c>
      <c r="Q27" s="3"/>
    </row>
    <row r="28" spans="1:17" ht="21.5" thickBot="1" x14ac:dyDescent="0.5">
      <c r="B28" s="23" t="s">
        <v>105</v>
      </c>
      <c r="C28" s="75">
        <v>232911.57914875</v>
      </c>
      <c r="D28" s="24" t="s">
        <v>106</v>
      </c>
      <c r="E28" s="24" t="s">
        <v>107</v>
      </c>
      <c r="F28" s="24" t="s">
        <v>108</v>
      </c>
      <c r="G28" s="44" t="s">
        <v>109</v>
      </c>
      <c r="H28" s="57">
        <v>1703</v>
      </c>
      <c r="I28" s="58">
        <v>1490.23</v>
      </c>
      <c r="J28" s="25">
        <v>3.0000000000000001E-3</v>
      </c>
      <c r="K28" s="25">
        <v>3.0000000000000001E-3</v>
      </c>
      <c r="L28" s="25">
        <v>1E-3</v>
      </c>
      <c r="M28" s="25">
        <v>4.0000000000000001E-3</v>
      </c>
      <c r="N28" s="81">
        <f t="shared" si="3"/>
        <v>2.0568426537133067E-3</v>
      </c>
      <c r="O28" s="106">
        <f t="shared" si="4"/>
        <v>1.7963960563473957E-3</v>
      </c>
      <c r="P28" s="26">
        <f t="shared" si="5"/>
        <v>6.398264978695019E-3</v>
      </c>
      <c r="Q28" s="3"/>
    </row>
    <row r="29" spans="1:17" ht="21.5" thickBot="1" x14ac:dyDescent="0.5">
      <c r="B29" s="27" t="s">
        <v>110</v>
      </c>
      <c r="C29" s="28">
        <f>SUM(C20:C28)</f>
        <v>7925048.9941752292</v>
      </c>
      <c r="D29" s="29" t="s">
        <v>111</v>
      </c>
      <c r="E29" s="29" t="s">
        <v>112</v>
      </c>
      <c r="F29" s="29" t="s">
        <v>113</v>
      </c>
      <c r="G29" s="49" t="s">
        <v>114</v>
      </c>
      <c r="H29" s="63">
        <f>SUM(H20:H28)</f>
        <v>401132.83</v>
      </c>
      <c r="I29" s="109">
        <f>SUM(I20:I28)</f>
        <v>408688.25</v>
      </c>
      <c r="J29" s="30">
        <v>0.59</v>
      </c>
      <c r="K29" s="30">
        <v>0.57199999999999995</v>
      </c>
      <c r="L29" s="30">
        <v>0.55800000000000005</v>
      </c>
      <c r="M29" s="30">
        <v>0.52200000000000002</v>
      </c>
      <c r="N29" s="82">
        <f t="shared" si="3"/>
        <v>0.48447863449719836</v>
      </c>
      <c r="O29" s="107">
        <f t="shared" si="4"/>
        <v>0.49265278552674324</v>
      </c>
      <c r="P29" s="31">
        <f t="shared" si="5"/>
        <v>5.156917645561291E-2</v>
      </c>
      <c r="Q29" s="36"/>
    </row>
    <row r="30" spans="1:17" s="1" customFormat="1" ht="17.5" thickBot="1" x14ac:dyDescent="0.5">
      <c r="A30" s="67"/>
      <c r="B30" s="40"/>
      <c r="C30" s="41"/>
      <c r="D30" s="40"/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</row>
    <row r="31" spans="1:17" s="1" customFormat="1" ht="21" x14ac:dyDescent="0.45">
      <c r="A31" s="67"/>
      <c r="B31" s="122"/>
      <c r="C31" s="42" t="s">
        <v>115</v>
      </c>
      <c r="D31" s="123" t="s">
        <v>117</v>
      </c>
      <c r="E31" s="123" t="s">
        <v>118</v>
      </c>
      <c r="F31" s="123" t="s">
        <v>119</v>
      </c>
      <c r="G31" s="123" t="s">
        <v>120</v>
      </c>
      <c r="H31" s="113">
        <f>H29+H17</f>
        <v>827968.04943999997</v>
      </c>
      <c r="I31" s="113">
        <f>I29+I17</f>
        <v>829566.50608000008</v>
      </c>
      <c r="J31" s="124"/>
      <c r="K31" s="121"/>
      <c r="L31" s="121"/>
      <c r="M31" s="121"/>
      <c r="N31" s="40"/>
      <c r="O31" s="40"/>
      <c r="P31" s="121"/>
      <c r="Q31" s="121"/>
    </row>
    <row r="32" spans="1:17" s="1" customFormat="1" ht="21.5" thickBot="1" x14ac:dyDescent="0.5">
      <c r="A32" s="67"/>
      <c r="B32" s="122"/>
      <c r="C32" s="43" t="s">
        <v>116</v>
      </c>
      <c r="D32" s="114"/>
      <c r="E32" s="114"/>
      <c r="F32" s="114"/>
      <c r="G32" s="114"/>
      <c r="H32" s="114"/>
      <c r="I32" s="114"/>
      <c r="J32" s="124"/>
      <c r="K32" s="121"/>
      <c r="L32" s="121"/>
      <c r="M32" s="121"/>
      <c r="N32" s="40"/>
      <c r="O32" s="40"/>
      <c r="P32" s="121"/>
      <c r="Q32" s="121"/>
    </row>
    <row r="33" spans="1:16" s="1" customFormat="1" ht="17.25" customHeight="1" x14ac:dyDescent="0.45">
      <c r="A33" s="67"/>
    </row>
    <row r="34" spans="1:16" s="1" customFormat="1" x14ac:dyDescent="0.45">
      <c r="A34" s="67"/>
    </row>
    <row r="35" spans="1:16" s="1" customFormat="1" x14ac:dyDescent="0.45">
      <c r="A35" s="67"/>
      <c r="G35" s="71"/>
      <c r="H35" s="71"/>
      <c r="I35" s="71"/>
      <c r="J35" s="71"/>
      <c r="L35" s="67"/>
    </row>
    <row r="36" spans="1:16" s="1" customFormat="1" x14ac:dyDescent="0.45">
      <c r="A36" s="67"/>
      <c r="G36" s="71"/>
      <c r="H36" s="71"/>
      <c r="I36" s="71"/>
      <c r="J36" s="71"/>
      <c r="P36" s="67" t="s">
        <v>127</v>
      </c>
    </row>
    <row r="37" spans="1:16" s="1" customFormat="1" x14ac:dyDescent="0.45">
      <c r="A37" s="67"/>
      <c r="B37" s="67"/>
      <c r="G37" s="70"/>
      <c r="H37" s="110"/>
      <c r="I37" s="111"/>
      <c r="J37" s="110"/>
      <c r="L37" s="67"/>
    </row>
    <row r="38" spans="1:16" s="1" customFormat="1" x14ac:dyDescent="0.45">
      <c r="A38" s="67"/>
      <c r="G38" s="70"/>
      <c r="H38" s="110"/>
      <c r="I38" s="110"/>
      <c r="J38" s="110"/>
      <c r="L38" s="67"/>
    </row>
    <row r="39" spans="1:16" s="1" customFormat="1" x14ac:dyDescent="0.45">
      <c r="A39" s="67"/>
      <c r="G39" s="70"/>
      <c r="H39" s="110"/>
      <c r="I39" s="110"/>
      <c r="J39" s="110"/>
    </row>
    <row r="40" spans="1:16" x14ac:dyDescent="0.45">
      <c r="G40" s="70"/>
      <c r="H40" s="111"/>
      <c r="I40" s="110"/>
      <c r="J40" s="111"/>
    </row>
    <row r="41" spans="1:16" x14ac:dyDescent="0.45">
      <c r="G41" s="70"/>
      <c r="H41" s="110"/>
      <c r="I41" s="110"/>
      <c r="J41" s="110"/>
      <c r="L41" s="68"/>
      <c r="M41" s="68"/>
    </row>
    <row r="42" spans="1:16" x14ac:dyDescent="0.45">
      <c r="G42" s="69"/>
      <c r="H42" s="112"/>
      <c r="I42" s="112"/>
      <c r="J42" s="69"/>
      <c r="L42" s="72"/>
      <c r="M42" s="68"/>
    </row>
    <row r="43" spans="1:16" x14ac:dyDescent="0.45">
      <c r="G43" s="69"/>
      <c r="H43" s="112"/>
      <c r="I43" s="112"/>
      <c r="J43" s="69"/>
    </row>
    <row r="44" spans="1:16" x14ac:dyDescent="0.45">
      <c r="G44" s="69"/>
      <c r="H44" s="112"/>
      <c r="I44" s="112"/>
      <c r="J44" s="69"/>
    </row>
    <row r="45" spans="1:16" x14ac:dyDescent="0.45">
      <c r="H45" s="52"/>
      <c r="I45" s="52"/>
      <c r="J45" s="74"/>
    </row>
    <row r="46" spans="1:16" x14ac:dyDescent="0.45">
      <c r="I46" s="74"/>
      <c r="J46" s="74"/>
    </row>
    <row r="47" spans="1:16" x14ac:dyDescent="0.45">
      <c r="H47" s="64"/>
      <c r="I47" s="74"/>
      <c r="J47" s="74"/>
    </row>
    <row r="48" spans="1:16" x14ac:dyDescent="0.45">
      <c r="H48" s="64"/>
      <c r="I48" s="74"/>
      <c r="J48" s="74"/>
    </row>
    <row r="49" spans="8:10" x14ac:dyDescent="0.45">
      <c r="H49" s="64"/>
      <c r="I49" s="74"/>
      <c r="J49" s="74"/>
    </row>
    <row r="50" spans="8:10" x14ac:dyDescent="0.45">
      <c r="H50" s="64"/>
      <c r="I50" s="64"/>
    </row>
  </sheetData>
  <mergeCells count="19">
    <mergeCell ref="B5:B7"/>
    <mergeCell ref="C5:C7"/>
    <mergeCell ref="Q5:Q6"/>
    <mergeCell ref="D5:I6"/>
    <mergeCell ref="Q31:Q32"/>
    <mergeCell ref="B31:B32"/>
    <mergeCell ref="D31:D32"/>
    <mergeCell ref="E31:E32"/>
    <mergeCell ref="F31:F32"/>
    <mergeCell ref="G31:G32"/>
    <mergeCell ref="J31:J32"/>
    <mergeCell ref="K31:K32"/>
    <mergeCell ref="L31:L32"/>
    <mergeCell ref="M31:M32"/>
    <mergeCell ref="H31:H32"/>
    <mergeCell ref="I31:I32"/>
    <mergeCell ref="J5:O5"/>
    <mergeCell ref="J6:O6"/>
    <mergeCell ref="P31:P3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보험사 본드포워드현황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infomax</dc:creator>
  <cp:lastModifiedBy>소정 조</cp:lastModifiedBy>
  <dcterms:created xsi:type="dcterms:W3CDTF">2026-06-08T08:53:50Z</dcterms:created>
  <dcterms:modified xsi:type="dcterms:W3CDTF">2026-06-09T13:21:57Z</dcterms:modified>
</cp:coreProperties>
</file>